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Pola Osadowe" sheetId="2" state="visible" r:id="rId2"/>
    <sheet xmlns:r="http://schemas.openxmlformats.org/officeDocument/2006/relationships" name="Wirowanie+Rolnicze" sheetId="3" state="visible" r:id="rId3"/>
    <sheet xmlns:r="http://schemas.openxmlformats.org/officeDocument/2006/relationships" name="Kompostowanie" sheetId="4" state="visible" r:id="rId4"/>
    <sheet xmlns:r="http://schemas.openxmlformats.org/officeDocument/2006/relationships" name="Suszenie+Spalanie" sheetId="5" state="visible" r:id="rId5"/>
    <sheet xmlns:r="http://schemas.openxmlformats.org/officeDocument/2006/relationships" name="Skladowisk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 EUR&quot;"/>
    <numFmt numFmtId="166" formatCode="0.0&quot; lat&quot;"/>
    <numFmt numFmtId="167" formatCode="#,##0.00&quot; EUR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70C0"/>
      <sz val="10"/>
    </font>
    <font>
      <name val="Arial"/>
      <color rgb="000070C0"/>
      <sz val="10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703C"/>
      <sz val="10"/>
    </font>
    <font>
      <name val="Arial"/>
      <i val="1"/>
      <color rgb="00444444"/>
      <sz val="9"/>
    </font>
    <font>
      <name val="Arial"/>
      <b val="1"/>
      <color rgb="00FFFFFF"/>
      <sz val="13"/>
    </font>
    <font>
      <name val="Arial"/>
      <i val="1"/>
      <color rgb="00666666"/>
      <sz val="10"/>
    </font>
    <font>
      <name val="Arial"/>
      <b val="1"/>
      <color rgb="00046BD2"/>
      <sz val="10"/>
    </font>
    <font>
      <name val="Arial"/>
      <i val="1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046BD2"/>
      </patternFill>
    </fill>
    <fill>
      <patternFill patternType="solid">
        <fgColor rgb="00D9E8F5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3" fontId="10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5" fontId="9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166" fontId="9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 ht="32" customHeight="1">
      <c r="A1" s="1" t="inlineStr">
        <is>
          <t>KALKULATOR ROI BioTC — BTC Consulting</t>
        </is>
      </c>
    </row>
    <row r="2">
      <c r="A2" s="2" t="inlineStr">
        <is>
          <t>Model finansowy | Wersja 1.0 | Maj 2026 | Zrodlo: kod JavaScript symulatora biotc.pl</t>
        </is>
      </c>
    </row>
    <row r="4" ht="20" customHeight="1">
      <c r="A4" s="3" t="inlineStr">
        <is>
          <t>PARAMETRY WEJSCIOWE (zolty = do edycji)</t>
        </is>
      </c>
    </row>
    <row r="5">
      <c r="A5" s="4" t="inlineStr">
        <is>
          <t>Objetosc mulu (t/rok)</t>
        </is>
      </c>
      <c r="B5" s="5" t="inlineStr">
        <is>
          <t>V</t>
        </is>
      </c>
      <c r="C5" s="6" t="n">
        <v>10000</v>
      </c>
      <c r="D5" s="7" t="inlineStr">
        <is>
          <t>Masa odwodnionego osadu rocznie; lub V = RLM x 0.1</t>
        </is>
      </c>
    </row>
    <row r="6">
      <c r="A6" s="4" t="inlineStr">
        <is>
          <t>Ekwiwalent mieszkancow (RLM)</t>
        </is>
      </c>
      <c r="B6" s="5" t="inlineStr">
        <is>
          <t>RLM</t>
        </is>
      </c>
      <c r="C6" s="6">
        <f>B6*10</f>
        <v/>
      </c>
      <c r="D6" s="7" t="inlineStr">
        <is>
          <t>Automatycznie: RLM = V x 10</t>
        </is>
      </c>
    </row>
    <row r="7" ht="16" customHeight="1">
      <c r="A7" s="4" t="inlineStr">
        <is>
          <t>Grant UE (%)</t>
        </is>
      </c>
      <c r="B7" s="5" t="inlineStr">
        <is>
          <t>G</t>
        </is>
      </c>
      <c r="C7" s="8" t="n">
        <v>0.75</v>
      </c>
      <c r="D7" s="7" t="inlineStr">
        <is>
          <t>Udzial bezzwrotnego dofinansowania EU w CapEx (domyslnie 75%)</t>
        </is>
      </c>
    </row>
    <row r="8">
      <c r="A8" s="4" t="inlineStr">
        <is>
          <t>Cena gruntu (EUR/100m2 = sotka)</t>
        </is>
      </c>
      <c r="B8" s="5" t="inlineStr">
        <is>
          <t>P_land</t>
        </is>
      </c>
      <c r="C8" s="9" t="n">
        <v>5000</v>
      </c>
      <c r="D8" s="7" t="inlineStr">
        <is>
          <t>Tylko dla scenariusza Pola Osadowe</t>
        </is>
      </c>
    </row>
    <row r="10">
      <c r="A10" s="3" t="inlineStr">
        <is>
          <t>OBLICZENIA CAPEX</t>
        </is>
      </c>
    </row>
    <row r="11">
      <c r="A11" s="4" t="inlineStr">
        <is>
          <t>CapEx calkowity</t>
        </is>
      </c>
      <c r="B11" s="10">
        <f>B6*250</f>
        <v/>
      </c>
      <c r="C11" t="inlineStr"/>
      <c r="D11" s="7" t="inlineStr">
        <is>
          <t>Formula: V x 250 EUR/(t/rok)</t>
        </is>
      </c>
    </row>
    <row r="12">
      <c r="A12" s="4" t="inlineStr">
        <is>
          <t>Kwota grantu UE</t>
        </is>
      </c>
      <c r="B12" s="10">
        <f>B11*(B7)</f>
        <v/>
      </c>
      <c r="C12" t="inlineStr"/>
      <c r="D12" s="7" t="inlineStr">
        <is>
          <t>CapEx x G%</t>
        </is>
      </c>
    </row>
    <row r="13">
      <c r="A13" s="4" t="inlineStr">
        <is>
          <t>Wklad wlasny miasta</t>
        </is>
      </c>
      <c r="B13" s="10">
        <f>B11-B12</f>
        <v/>
      </c>
      <c r="C13">
        <f>B11-B12</f>
        <v/>
      </c>
      <c r="D13" s="7" t="inlineStr">
        <is>
          <t>CapEx x (1 - G%)</t>
        </is>
      </c>
    </row>
    <row r="15">
      <c r="A15" s="3" t="inlineStr">
        <is>
          <t>POROWNIANIE SCENARIUSZY (obliczenia szczegolowe na oddzielnych arkuszach)</t>
        </is>
      </c>
    </row>
    <row r="16" ht="28" customHeight="1">
      <c r="A16" s="11" t="inlineStr">
        <is>
          <t>Scenariusz</t>
        </is>
      </c>
      <c r="B16" s="11" t="inlineStr">
        <is>
          <t>Lacze oszczednosci (EUR/rok)</t>
        </is>
      </c>
      <c r="C16" s="11" t="inlineStr">
        <is>
          <t>Aktywo gruntowe (EUR)</t>
        </is>
      </c>
      <c r="D16" s="11" t="inlineStr">
        <is>
          <t>ROI (lata)</t>
        </is>
      </c>
      <c r="E16" s="11" t="inlineStr">
        <is>
          <t>Arkusz</t>
        </is>
      </c>
    </row>
    <row r="17">
      <c r="A17" s="12" t="inlineStr">
        <is>
          <t>Pola Osadowe</t>
        </is>
      </c>
      <c r="B17" s="13">
        <f>'Pola Osadowe'!B20</f>
        <v/>
      </c>
      <c r="C17" s="13">
        <f>'Pola Osadowe'!B22</f>
        <v/>
      </c>
      <c r="D17" s="14">
        <f>'Pola Osadowe'!B25</f>
        <v/>
      </c>
      <c r="E17" s="15" t="inlineStr">
        <is>
          <t>Pola Osadowe</t>
        </is>
      </c>
    </row>
    <row r="18">
      <c r="A18" s="16" t="inlineStr">
        <is>
          <t>Wirowanie+Rolnicze</t>
        </is>
      </c>
      <c r="B18" s="10">
        <f>'Wirowanie+Rolnicze'!B20</f>
        <v/>
      </c>
      <c r="C18" s="17" t="inlineStr">
        <is>
          <t>—</t>
        </is>
      </c>
      <c r="D18" s="18">
        <f>'Wirowanie+Rolnicze'!B25</f>
        <v/>
      </c>
      <c r="E18" s="19" t="inlineStr">
        <is>
          <t>Wirowanie+Rolnicze</t>
        </is>
      </c>
    </row>
    <row r="19">
      <c r="A19" s="12" t="inlineStr">
        <is>
          <t>Kompostowanie</t>
        </is>
      </c>
      <c r="B19" s="13">
        <f>'Kompostowanie'!B20</f>
        <v/>
      </c>
      <c r="C19" s="20" t="inlineStr">
        <is>
          <t>—</t>
        </is>
      </c>
      <c r="D19" s="14">
        <f>'Kompostowanie'!B25</f>
        <v/>
      </c>
      <c r="E19" s="15" t="inlineStr">
        <is>
          <t>Kompostowanie</t>
        </is>
      </c>
    </row>
    <row r="20">
      <c r="A20" s="16" t="inlineStr">
        <is>
          <t>Suszenie+Spalanie</t>
        </is>
      </c>
      <c r="B20" s="10">
        <f>'Suszenie+Spalanie'!B20</f>
        <v/>
      </c>
      <c r="C20" s="17" t="inlineStr">
        <is>
          <t>—</t>
        </is>
      </c>
      <c r="D20" s="18">
        <f>'Suszenie+Spalanie'!B25</f>
        <v/>
      </c>
      <c r="E20" s="19" t="inlineStr">
        <is>
          <t>Suszenie+Spalanie</t>
        </is>
      </c>
    </row>
    <row r="21">
      <c r="A21" s="12" t="inlineStr">
        <is>
          <t>Skladowisko</t>
        </is>
      </c>
      <c r="B21" s="13">
        <f>'Skladowisko'!B20</f>
        <v/>
      </c>
      <c r="C21" s="20" t="inlineStr">
        <is>
          <t>—</t>
        </is>
      </c>
      <c r="D21" s="14">
        <f>'Skladowisko'!B25</f>
        <v/>
      </c>
      <c r="E21" s="15" t="inlineStr">
        <is>
          <t>Skladowisko</t>
        </is>
      </c>
    </row>
    <row r="23" ht="18" customHeight="1">
      <c r="A23" s="21" t="inlineStr">
        <is>
          <t>LEGENDA KOLOROW: Niebieski tekst = dane wejsciowe | Czarny tekst = formuly | Zielony = linki do arkuszy | Zolte tlo = do edycji</t>
        </is>
      </c>
    </row>
  </sheetData>
  <mergeCells count="13">
    <mergeCell ref="D8:E8"/>
    <mergeCell ref="D6:E6"/>
    <mergeCell ref="A4:E4"/>
    <mergeCell ref="D7:E7"/>
    <mergeCell ref="A2:E2"/>
    <mergeCell ref="A15:E15"/>
    <mergeCell ref="A10:E10"/>
    <mergeCell ref="D11:E11"/>
    <mergeCell ref="D13:E13"/>
    <mergeCell ref="D5:E5"/>
    <mergeCell ref="A1:E1"/>
    <mergeCell ref="A23:E23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30" customHeight="1">
      <c r="A1" s="22" t="inlineStr">
        <is>
          <t>SCENARIUSZ: POLA OSADOWE</t>
        </is>
      </c>
    </row>
    <row r="2">
      <c r="A2" s="23" t="inlineStr">
        <is>
          <t>Parametry wejsciowe przenoszone z arkusza PODSUMOWANIE (zolta komorka = do edycji lokalnie)</t>
        </is>
      </c>
    </row>
    <row r="4">
      <c r="A4" s="24" t="inlineStr">
        <is>
          <t>PARAMETRY</t>
        </is>
      </c>
      <c r="B4" s="25" t="inlineStr">
        <is>
          <t>Wartosc</t>
        </is>
      </c>
      <c r="C4" s="25" t="inlineStr">
        <is>
          <t>Jednostka</t>
        </is>
      </c>
    </row>
    <row r="5">
      <c r="A5" s="4" t="inlineStr">
        <is>
          <t>Objetosc mulu (V)</t>
        </is>
      </c>
      <c r="B5" s="26">
        <f>Podsumowanie!B6</f>
        <v/>
      </c>
      <c r="C5" s="27" t="inlineStr">
        <is>
          <t>t/rok</t>
        </is>
      </c>
    </row>
    <row r="6">
      <c r="A6" s="4" t="inlineStr">
        <is>
          <t>Grant UE (G)</t>
        </is>
      </c>
      <c r="B6" s="28">
        <f>Podsumowanie!B7</f>
        <v/>
      </c>
      <c r="C6" s="27" t="inlineStr">
        <is>
          <t>%</t>
        </is>
      </c>
    </row>
    <row r="7">
      <c r="A7" s="4" t="inlineStr">
        <is>
          <t>Cena gruntu (P_land)</t>
        </is>
      </c>
      <c r="B7" s="26">
        <f>Podsumowanie!B8</f>
        <v/>
      </c>
      <c r="C7" s="27" t="inlineStr">
        <is>
          <t>EUR/sotka</t>
        </is>
      </c>
    </row>
    <row r="9">
      <c r="A9" s="24" t="inlineStr">
        <is>
          <t>PARAMETRY SCENARIUSZA</t>
        </is>
      </c>
      <c r="B9" s="25" t="inlineStr">
        <is>
          <t>Domyslnie</t>
        </is>
      </c>
      <c r="C9" s="25" t="inlineStr">
        <is>
          <t>EUR/t</t>
        </is>
      </c>
    </row>
    <row r="10">
      <c r="A10" s="4" t="inlineStr">
        <is>
          <t>Utylizacja i wywoz mulu (f1)</t>
        </is>
      </c>
      <c r="B10" s="29" t="n">
        <v>60</v>
      </c>
      <c r="C10" s="20" t="inlineStr">
        <is>
          <t>EUR/t</t>
        </is>
      </c>
    </row>
    <row r="11">
      <c r="A11" s="4" t="inlineStr">
        <is>
          <t>Rekultywacja terenu (f2)</t>
        </is>
      </c>
      <c r="B11" s="29" t="n">
        <v>30</v>
      </c>
      <c r="C11" s="20" t="inlineStr">
        <is>
          <t>EUR/t</t>
        </is>
      </c>
    </row>
    <row r="13">
      <c r="A13" s="24" t="inlineStr">
        <is>
          <t>OBLICZENIA</t>
        </is>
      </c>
      <c r="B13" s="25" t="inlineStr">
        <is>
          <t>Wartosc</t>
        </is>
      </c>
      <c r="C13" s="25" t="inlineStr">
        <is>
          <t>Zrodlo formuly</t>
        </is>
      </c>
    </row>
    <row r="14">
      <c r="A14" s="4" t="inlineStr">
        <is>
          <t>CapEx calkowity (EUR)</t>
        </is>
      </c>
      <c r="B14" s="13">
        <f>B5*250</f>
        <v/>
      </c>
      <c r="C14" s="30" t="inlineStr">
        <is>
          <t>V x 250 EUR/(t/rok)</t>
        </is>
      </c>
    </row>
    <row r="15">
      <c r="A15" s="4" t="inlineStr">
        <is>
          <t>Kwota grantu UE (EUR)</t>
        </is>
      </c>
      <c r="B15" s="13">
        <f>B14*B6</f>
        <v/>
      </c>
      <c r="C15" s="30" t="inlineStr">
        <is>
          <t>CapEx x G%</t>
        </is>
      </c>
    </row>
    <row r="16">
      <c r="A16" s="4" t="inlineStr">
        <is>
          <t>Wklad wlasny miasta (EUR)</t>
        </is>
      </c>
      <c r="B16" s="13">
        <f>B14-B15</f>
        <v/>
      </c>
      <c r="C16" s="30" t="inlineStr">
        <is>
          <t>CapEx - Grant</t>
        </is>
      </c>
    </row>
    <row r="18">
      <c r="A18" s="31" t="inlineStr">
        <is>
          <t>Oszczednosci f1 (EUR/rok)</t>
        </is>
      </c>
      <c r="B18" s="10">
        <f>B5*B10</f>
        <v/>
      </c>
      <c r="C18" s="30" t="inlineStr">
        <is>
          <t>Utylizacja i wywoz mulu (f1)</t>
        </is>
      </c>
    </row>
    <row r="19">
      <c r="A19" s="31" t="inlineStr">
        <is>
          <t>Oszczednosci f2 (EUR/rok)</t>
        </is>
      </c>
      <c r="B19" s="10">
        <f>B5*B11</f>
        <v/>
      </c>
      <c r="C19" s="30" t="inlineStr">
        <is>
          <t>Rekultywacja terenu (f2)</t>
        </is>
      </c>
    </row>
    <row r="20">
      <c r="A20" s="12" t="inlineStr">
        <is>
          <t>LACZE OSZCZEDNOSCI (EUR/rok)</t>
        </is>
      </c>
      <c r="B20" s="32">
        <f>B17+B18</f>
        <v/>
      </c>
      <c r="C20" s="30" t="inlineStr">
        <is>
          <t>Suma oszczednosci</t>
        </is>
      </c>
    </row>
    <row r="21">
      <c r="A21" s="31" t="inlineStr">
        <is>
          <t>Powierzchnia zwolniona (m2)</t>
        </is>
      </c>
      <c r="B21" s="33">
        <f>B5*1.5</f>
        <v/>
      </c>
      <c r="C21" s="30" t="inlineStr">
        <is>
          <t>V x 1.5 m2/t (norma)</t>
        </is>
      </c>
    </row>
    <row r="22">
      <c r="A22" s="4" t="inlineStr">
        <is>
          <t>Wartosc gruntu (EUR)</t>
        </is>
      </c>
      <c r="B22" s="13">
        <f>B5*1.5*B8/100</f>
        <v/>
      </c>
      <c r="C22" s="30" t="inlineStr">
        <is>
          <t>Pow. x Cena/sotka / 100</t>
        </is>
      </c>
    </row>
    <row r="24">
      <c r="A24" s="24" t="inlineStr">
        <is>
          <t>ROI — WYNIK</t>
        </is>
      </c>
      <c r="B24" s="25" t="inlineStr">
        <is>
          <t>Wartosc</t>
        </is>
      </c>
      <c r="C24" s="25" t="inlineStr">
        <is>
          <t>Formula</t>
        </is>
      </c>
    </row>
    <row r="25">
      <c r="A25" s="34" t="inlineStr">
        <is>
          <t>ROI (link dla arkusza Podsumowanie)</t>
        </is>
      </c>
      <c r="B25" s="35">
        <f>B25</f>
        <v/>
      </c>
      <c r="C25" s="30" t="inlineStr">
        <is>
          <t>(Wklad - Grunt) / Oszczednosci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30" customHeight="1">
      <c r="A1" s="22" t="inlineStr">
        <is>
          <t>SCENARIUSZ: WIROWANIE+ROLNICZE</t>
        </is>
      </c>
    </row>
    <row r="2">
      <c r="A2" s="23" t="inlineStr">
        <is>
          <t>Parametry wejsciowe przenoszone z arkusza PODSUMOWANIE (zolta komorka = do edycji lokalnie)</t>
        </is>
      </c>
    </row>
    <row r="4">
      <c r="A4" s="24" t="inlineStr">
        <is>
          <t>PARAMETRY</t>
        </is>
      </c>
      <c r="B4" s="25" t="inlineStr">
        <is>
          <t>Wartosc</t>
        </is>
      </c>
      <c r="C4" s="25" t="inlineStr">
        <is>
          <t>Jednostka</t>
        </is>
      </c>
    </row>
    <row r="5">
      <c r="A5" s="4" t="inlineStr">
        <is>
          <t>Objetosc mulu (V)</t>
        </is>
      </c>
      <c r="B5" s="26">
        <f>Podsumowanie!B6</f>
        <v/>
      </c>
      <c r="C5" s="27" t="inlineStr">
        <is>
          <t>t/rok</t>
        </is>
      </c>
    </row>
    <row r="6">
      <c r="A6" s="4" t="inlineStr">
        <is>
          <t>Grant UE (G)</t>
        </is>
      </c>
      <c r="B6" s="28">
        <f>Podsumowanie!B7</f>
        <v/>
      </c>
      <c r="C6" s="27" t="inlineStr">
        <is>
          <t>%</t>
        </is>
      </c>
    </row>
    <row r="8">
      <c r="A8" s="24" t="inlineStr">
        <is>
          <t>PARAMETRY SCENARIUSZA</t>
        </is>
      </c>
      <c r="B8" s="25" t="inlineStr">
        <is>
          <t>Domyslnie</t>
        </is>
      </c>
      <c r="C8" s="25" t="inlineStr">
        <is>
          <t>EUR/t</t>
        </is>
      </c>
    </row>
    <row r="9">
      <c r="A9" s="4" t="inlineStr">
        <is>
          <t>Flokulatory / chemia (f1)</t>
        </is>
      </c>
      <c r="B9" s="29" t="n">
        <v>40</v>
      </c>
      <c r="C9" s="20" t="inlineStr">
        <is>
          <t>EUR/t</t>
        </is>
      </c>
    </row>
    <row r="10">
      <c r="A10" s="4" t="inlineStr">
        <is>
          <t>Logistyka na pola (f2)</t>
        </is>
      </c>
      <c r="B10" s="29" t="n">
        <v>30</v>
      </c>
      <c r="C10" s="20" t="inlineStr">
        <is>
          <t>EUR/t</t>
        </is>
      </c>
    </row>
    <row r="12">
      <c r="A12" s="24" t="inlineStr">
        <is>
          <t>OBLICZENIA</t>
        </is>
      </c>
      <c r="B12" s="25" t="inlineStr">
        <is>
          <t>Wartosc</t>
        </is>
      </c>
      <c r="C12" s="25" t="inlineStr">
        <is>
          <t>Zrodlo formuly</t>
        </is>
      </c>
    </row>
    <row r="13">
      <c r="A13" s="4" t="inlineStr">
        <is>
          <t>CapEx calkowity (EUR)</t>
        </is>
      </c>
      <c r="B13" s="13">
        <f>B5*250</f>
        <v/>
      </c>
      <c r="C13" s="30" t="inlineStr">
        <is>
          <t>V x 250 EUR/(t/rok)</t>
        </is>
      </c>
    </row>
    <row r="14">
      <c r="A14" s="4" t="inlineStr">
        <is>
          <t>Kwota grantu UE (EUR)</t>
        </is>
      </c>
      <c r="B14" s="13">
        <f>B13*B6</f>
        <v/>
      </c>
      <c r="C14" s="30" t="inlineStr">
        <is>
          <t>CapEx x G%</t>
        </is>
      </c>
    </row>
    <row r="15">
      <c r="A15" s="4" t="inlineStr">
        <is>
          <t>Wklad wlasny miasta (EUR)</t>
        </is>
      </c>
      <c r="B15" s="13">
        <f>B13-B14</f>
        <v/>
      </c>
      <c r="C15" s="30" t="inlineStr">
        <is>
          <t>CapEx - Grant</t>
        </is>
      </c>
    </row>
    <row r="17">
      <c r="A17" s="31" t="inlineStr">
        <is>
          <t>Oszczednosci f1 (EUR/rok)</t>
        </is>
      </c>
      <c r="B17" s="10">
        <f>B5*B9</f>
        <v/>
      </c>
      <c r="C17" s="30" t="inlineStr">
        <is>
          <t>Flokulatory / chemia (f1)</t>
        </is>
      </c>
    </row>
    <row r="18">
      <c r="A18" s="31" t="inlineStr">
        <is>
          <t>Oszczednosci f2 (EUR/rok)</t>
        </is>
      </c>
      <c r="B18" s="10">
        <f>B5*0.8*B10</f>
        <v/>
      </c>
      <c r="C18" s="30" t="inlineStr">
        <is>
          <t>Logistyka na pola (f2)</t>
        </is>
      </c>
    </row>
    <row r="19">
      <c r="A19" s="12" t="inlineStr">
        <is>
          <t>LACZE OSZCZEDNOSCI (EUR/rok)</t>
        </is>
      </c>
      <c r="B19" s="32">
        <f>B16+B17</f>
        <v/>
      </c>
      <c r="C19" s="30" t="inlineStr">
        <is>
          <t>Suma oszczednosci</t>
        </is>
      </c>
    </row>
    <row r="22">
      <c r="A22" s="24" t="inlineStr">
        <is>
          <t>ROI — WYNIK</t>
        </is>
      </c>
      <c r="B22" s="25" t="inlineStr">
        <is>
          <t>Wartosc</t>
        </is>
      </c>
      <c r="C22" s="25" t="inlineStr">
        <is>
          <t>Formula</t>
        </is>
      </c>
    </row>
    <row r="23">
      <c r="A23" s="36" t="inlineStr">
        <is>
          <t>ROI (lata)</t>
        </is>
      </c>
      <c r="B23" s="35">
        <f>IF(B19&lt;=0,"brak danych",IF((B15-0)&lt;=0,"Natychmiastowy!",(B15-0)/B19))</f>
        <v/>
      </c>
      <c r="C23" s="30" t="inlineStr">
        <is>
          <t>(Wklad - Grunt) / Oszczednosci</t>
        </is>
      </c>
    </row>
    <row r="25">
      <c r="A25" s="37" t="inlineStr">
        <is>
          <t>ROI (link dla arkusza Podsumowanie)</t>
        </is>
      </c>
      <c r="B25" s="38">
        <f>B23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30" customHeight="1">
      <c r="A1" s="22" t="inlineStr">
        <is>
          <t>SCENARIUSZ: KOMPOSTOWANIE</t>
        </is>
      </c>
    </row>
    <row r="2">
      <c r="A2" s="23" t="inlineStr">
        <is>
          <t>Parametry wejsciowe przenoszone z arkusza PODSUMOWANIE (zolta komorka = do edycji lokalnie)</t>
        </is>
      </c>
    </row>
    <row r="4">
      <c r="A4" s="24" t="inlineStr">
        <is>
          <t>PARAMETRY</t>
        </is>
      </c>
      <c r="B4" s="25" t="inlineStr">
        <is>
          <t>Wartosc</t>
        </is>
      </c>
      <c r="C4" s="25" t="inlineStr">
        <is>
          <t>Jednostka</t>
        </is>
      </c>
    </row>
    <row r="5">
      <c r="A5" s="4" t="inlineStr">
        <is>
          <t>Objetosc mulu (V)</t>
        </is>
      </c>
      <c r="B5" s="26">
        <f>Podsumowanie!B6</f>
        <v/>
      </c>
      <c r="C5" s="27" t="inlineStr">
        <is>
          <t>t/rok</t>
        </is>
      </c>
    </row>
    <row r="6">
      <c r="A6" s="4" t="inlineStr">
        <is>
          <t>Grant UE (G)</t>
        </is>
      </c>
      <c r="B6" s="28">
        <f>Podsumowanie!B7</f>
        <v/>
      </c>
      <c r="C6" s="27" t="inlineStr">
        <is>
          <t>%</t>
        </is>
      </c>
    </row>
    <row r="8">
      <c r="A8" s="24" t="inlineStr">
        <is>
          <t>PARAMETRY SCENARIUSZA</t>
        </is>
      </c>
      <c r="B8" s="25" t="inlineStr">
        <is>
          <t>Domyslnie</t>
        </is>
      </c>
      <c r="C8" s="25" t="inlineStr">
        <is>
          <t>EUR/t</t>
        </is>
      </c>
    </row>
    <row r="9">
      <c r="A9" s="4" t="inlineStr">
        <is>
          <t>Zrebki / strukturyzator (f1)</t>
        </is>
      </c>
      <c r="B9" s="29" t="n">
        <v>35</v>
      </c>
      <c r="C9" s="20" t="inlineStr">
        <is>
          <t>EUR/t</t>
        </is>
      </c>
    </row>
    <row r="10">
      <c r="A10" s="4" t="inlineStr">
        <is>
          <t>Koszty operacyjne (f2)</t>
        </is>
      </c>
      <c r="B10" s="29" t="n">
        <v>20</v>
      </c>
      <c r="C10" s="20" t="inlineStr">
        <is>
          <t>EUR/t</t>
        </is>
      </c>
    </row>
    <row r="12">
      <c r="A12" s="24" t="inlineStr">
        <is>
          <t>OBLICZENIA</t>
        </is>
      </c>
      <c r="B12" s="25" t="inlineStr">
        <is>
          <t>Wartosc</t>
        </is>
      </c>
      <c r="C12" s="25" t="inlineStr">
        <is>
          <t>Zrodlo formuly</t>
        </is>
      </c>
    </row>
    <row r="13">
      <c r="A13" s="4" t="inlineStr">
        <is>
          <t>CapEx calkowity (EUR)</t>
        </is>
      </c>
      <c r="B13" s="13">
        <f>B5*250</f>
        <v/>
      </c>
      <c r="C13" s="30" t="inlineStr">
        <is>
          <t>V x 250 EUR/(t/rok)</t>
        </is>
      </c>
    </row>
    <row r="14">
      <c r="A14" s="4" t="inlineStr">
        <is>
          <t>Kwota grantu UE (EUR)</t>
        </is>
      </c>
      <c r="B14" s="13">
        <f>B13*B6</f>
        <v/>
      </c>
      <c r="C14" s="30" t="inlineStr">
        <is>
          <t>CapEx x G%</t>
        </is>
      </c>
    </row>
    <row r="15">
      <c r="A15" s="4" t="inlineStr">
        <is>
          <t>Wklad wlasny miasta (EUR)</t>
        </is>
      </c>
      <c r="B15" s="13">
        <f>B13-B14</f>
        <v/>
      </c>
      <c r="C15" s="30" t="inlineStr">
        <is>
          <t>CapEx - Grant</t>
        </is>
      </c>
    </row>
    <row r="17">
      <c r="A17" s="31" t="inlineStr">
        <is>
          <t>Oszczednosci f1 (EUR/rok)</t>
        </is>
      </c>
      <c r="B17" s="10">
        <f>B5*B9</f>
        <v/>
      </c>
      <c r="C17" s="30" t="inlineStr">
        <is>
          <t>Zrebki / strukturyzator (f1)</t>
        </is>
      </c>
    </row>
    <row r="18">
      <c r="A18" s="31" t="inlineStr">
        <is>
          <t>Oszczednosci f2 (EUR/rok)</t>
        </is>
      </c>
      <c r="B18" s="10">
        <f>B5*B10</f>
        <v/>
      </c>
      <c r="C18" s="30" t="inlineStr">
        <is>
          <t>Koszty operacyjne (f2)</t>
        </is>
      </c>
    </row>
    <row r="19">
      <c r="A19" s="12" t="inlineStr">
        <is>
          <t>LACZE OSZCZEDNOSCI (EUR/rok)</t>
        </is>
      </c>
      <c r="B19" s="32">
        <f>B16+B17</f>
        <v/>
      </c>
      <c r="C19" s="30" t="inlineStr">
        <is>
          <t>Suma oszczednosci</t>
        </is>
      </c>
    </row>
    <row r="22">
      <c r="A22" s="24" t="inlineStr">
        <is>
          <t>ROI — WYNIK</t>
        </is>
      </c>
      <c r="B22" s="25" t="inlineStr">
        <is>
          <t>Wartosc</t>
        </is>
      </c>
      <c r="C22" s="25" t="inlineStr">
        <is>
          <t>Formula</t>
        </is>
      </c>
    </row>
    <row r="23">
      <c r="A23" s="36" t="inlineStr">
        <is>
          <t>ROI (lata)</t>
        </is>
      </c>
      <c r="B23" s="35">
        <f>IF(B19&lt;=0,"brak danych",IF((B15-0)&lt;=0,"Natychmiastowy!",(B15-0)/B19))</f>
        <v/>
      </c>
      <c r="C23" s="30" t="inlineStr">
        <is>
          <t>(Wklad - Grunt) / Oszczednosci</t>
        </is>
      </c>
    </row>
    <row r="25">
      <c r="A25" s="37" t="inlineStr">
        <is>
          <t>ROI (link dla arkusza Podsumowanie)</t>
        </is>
      </c>
      <c r="B25" s="38">
        <f>B23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30" customHeight="1">
      <c r="A1" s="22" t="inlineStr">
        <is>
          <t>SCENARIUSZ: SUSZENIE+SPALANIE</t>
        </is>
      </c>
    </row>
    <row r="2">
      <c r="A2" s="23" t="inlineStr">
        <is>
          <t>Parametry wejsciowe przenoszone z arkusza PODSUMOWANIE (zolta komorka = do edycji lokalnie)</t>
        </is>
      </c>
    </row>
    <row r="4">
      <c r="A4" s="24" t="inlineStr">
        <is>
          <t>PARAMETRY</t>
        </is>
      </c>
      <c r="B4" s="25" t="inlineStr">
        <is>
          <t>Wartosc</t>
        </is>
      </c>
      <c r="C4" s="25" t="inlineStr">
        <is>
          <t>Jednostka</t>
        </is>
      </c>
    </row>
    <row r="5">
      <c r="A5" s="4" t="inlineStr">
        <is>
          <t>Objetosc mulu (V)</t>
        </is>
      </c>
      <c r="B5" s="26">
        <f>Podsumowanie!B6</f>
        <v/>
      </c>
      <c r="C5" s="27" t="inlineStr">
        <is>
          <t>t/rok</t>
        </is>
      </c>
    </row>
    <row r="6">
      <c r="A6" s="4" t="inlineStr">
        <is>
          <t>Grant UE (G)</t>
        </is>
      </c>
      <c r="B6" s="28">
        <f>Podsumowanie!B7</f>
        <v/>
      </c>
      <c r="C6" s="27" t="inlineStr">
        <is>
          <t>%</t>
        </is>
      </c>
    </row>
    <row r="8">
      <c r="A8" s="24" t="inlineStr">
        <is>
          <t>PARAMETRY SCENARIUSZA</t>
        </is>
      </c>
      <c r="B8" s="25" t="inlineStr">
        <is>
          <t>Domyslnie</t>
        </is>
      </c>
      <c r="C8" s="25" t="inlineStr">
        <is>
          <t>EUR/t</t>
        </is>
      </c>
    </row>
    <row r="9">
      <c r="A9" s="4" t="inlineStr">
        <is>
          <t>Gaz / energia do suszarki (f1)</t>
        </is>
      </c>
      <c r="B9" s="29" t="n">
        <v>80</v>
      </c>
      <c r="C9" s="20" t="inlineStr">
        <is>
          <t>EUR/t</t>
        </is>
      </c>
    </row>
    <row r="10">
      <c r="A10" s="4" t="inlineStr">
        <is>
          <t>Gate Fee spalarni (f2) EUR/t suchej</t>
        </is>
      </c>
      <c r="B10" s="29" t="n">
        <v>120</v>
      </c>
      <c r="C10" s="20" t="inlineStr">
        <is>
          <t>EUR/t suchej m.</t>
        </is>
      </c>
    </row>
    <row r="12">
      <c r="A12" s="24" t="inlineStr">
        <is>
          <t>OBLICZENIA</t>
        </is>
      </c>
      <c r="B12" s="25" t="inlineStr">
        <is>
          <t>Wartosc</t>
        </is>
      </c>
      <c r="C12" s="25" t="inlineStr">
        <is>
          <t>Zrodlo formuly</t>
        </is>
      </c>
    </row>
    <row r="13">
      <c r="A13" s="4" t="inlineStr">
        <is>
          <t>CapEx calkowity (EUR)</t>
        </is>
      </c>
      <c r="B13" s="13">
        <f>B5*250</f>
        <v/>
      </c>
      <c r="C13" s="30" t="inlineStr">
        <is>
          <t>V x 250 EUR/(t/rok)</t>
        </is>
      </c>
    </row>
    <row r="14">
      <c r="A14" s="4" t="inlineStr">
        <is>
          <t>Kwota grantu UE (EUR)</t>
        </is>
      </c>
      <c r="B14" s="13">
        <f>B13*B6</f>
        <v/>
      </c>
      <c r="C14" s="30" t="inlineStr">
        <is>
          <t>CapEx x G%</t>
        </is>
      </c>
    </row>
    <row r="15">
      <c r="A15" s="4" t="inlineStr">
        <is>
          <t>Wklad wlasny miasta (EUR)</t>
        </is>
      </c>
      <c r="B15" s="13">
        <f>B13-B14</f>
        <v/>
      </c>
      <c r="C15" s="30" t="inlineStr">
        <is>
          <t>CapEx - Grant</t>
        </is>
      </c>
    </row>
    <row r="17">
      <c r="A17" s="31" t="inlineStr">
        <is>
          <t>Oszczednosci f1 (EUR/rok)</t>
        </is>
      </c>
      <c r="B17" s="10">
        <f>B5*B9</f>
        <v/>
      </c>
      <c r="C17" s="30" t="inlineStr">
        <is>
          <t>Gaz / energia do suszarki (f1)</t>
        </is>
      </c>
    </row>
    <row r="18">
      <c r="A18" s="31" t="inlineStr">
        <is>
          <t>Oszczednosci f2 (EUR/rok)</t>
        </is>
      </c>
      <c r="B18" s="10">
        <f>B5*0.2*B10</f>
        <v/>
      </c>
      <c r="C18" s="30" t="inlineStr">
        <is>
          <t>Gate Fee spalarni (f2) EUR/t suchej</t>
        </is>
      </c>
    </row>
    <row r="19">
      <c r="A19" s="31" t="inlineStr">
        <is>
          <t>Dochod f3 biogaz (EUR/rok)</t>
        </is>
      </c>
      <c r="B19" s="10">
        <f>B5*0.1*160</f>
        <v/>
      </c>
      <c r="C19" s="30" t="inlineStr">
        <is>
          <t>V x 0.1 MWh/t x 160 EUR/MWh</t>
        </is>
      </c>
    </row>
    <row r="20">
      <c r="A20" s="12" t="inlineStr">
        <is>
          <t>LACZE OSZCZEDNOSCI (EUR/rok)</t>
        </is>
      </c>
      <c r="B20" s="32">
        <f>B16+B17+B18</f>
        <v/>
      </c>
      <c r="C20" s="30" t="inlineStr">
        <is>
          <t>Suma oszczednosci</t>
        </is>
      </c>
    </row>
    <row r="23">
      <c r="A23" s="24" t="inlineStr">
        <is>
          <t>ROI — WYNIK</t>
        </is>
      </c>
      <c r="B23" s="25" t="inlineStr">
        <is>
          <t>Wartosc</t>
        </is>
      </c>
      <c r="C23" s="25" t="inlineStr">
        <is>
          <t>Formula</t>
        </is>
      </c>
    </row>
    <row r="24">
      <c r="A24" s="36" t="inlineStr">
        <is>
          <t>ROI (lata)</t>
        </is>
      </c>
      <c r="B24" s="35">
        <f>IF(B20&lt;=0,"brak danych",IF((B15-0)&lt;=0,"Natychmiastowy!",(B15-0)/B20))</f>
        <v/>
      </c>
      <c r="C24" s="30" t="inlineStr">
        <is>
          <t>(Wklad - Grunt) / Oszczednosci</t>
        </is>
      </c>
    </row>
    <row r="25">
      <c r="A25" s="37" t="inlineStr">
        <is>
          <t>ROI (link dla arkusza Podsumowanie)</t>
        </is>
      </c>
      <c r="B25" s="38">
        <f>B24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30" customHeight="1">
      <c r="A1" s="22" t="inlineStr">
        <is>
          <t>SCENARIUSZ: SKLADOWISKO</t>
        </is>
      </c>
    </row>
    <row r="2">
      <c r="A2" s="23" t="inlineStr">
        <is>
          <t>Parametry wejsciowe przenoszone z arkusza PODSUMOWANIE (zolta komorka = do edycji lokalnie)</t>
        </is>
      </c>
    </row>
    <row r="4">
      <c r="A4" s="24" t="inlineStr">
        <is>
          <t>PARAMETRY</t>
        </is>
      </c>
      <c r="B4" s="25" t="inlineStr">
        <is>
          <t>Wartosc</t>
        </is>
      </c>
      <c r="C4" s="25" t="inlineStr">
        <is>
          <t>Jednostka</t>
        </is>
      </c>
    </row>
    <row r="5">
      <c r="A5" s="4" t="inlineStr">
        <is>
          <t>Objetosc mulu (V)</t>
        </is>
      </c>
      <c r="B5" s="26">
        <f>Podsumowanie!B6</f>
        <v/>
      </c>
      <c r="C5" s="27" t="inlineStr">
        <is>
          <t>t/rok</t>
        </is>
      </c>
    </row>
    <row r="6">
      <c r="A6" s="4" t="inlineStr">
        <is>
          <t>Grant UE (G)</t>
        </is>
      </c>
      <c r="B6" s="28">
        <f>Podsumowanie!B7</f>
        <v/>
      </c>
      <c r="C6" s="27" t="inlineStr">
        <is>
          <t>%</t>
        </is>
      </c>
    </row>
    <row r="8">
      <c r="A8" s="24" t="inlineStr">
        <is>
          <t>PARAMETRY SCENARIUSZA</t>
        </is>
      </c>
      <c r="B8" s="25" t="inlineStr">
        <is>
          <t>Domyslnie</t>
        </is>
      </c>
      <c r="C8" s="25" t="inlineStr">
        <is>
          <t>EUR/t</t>
        </is>
      </c>
    </row>
    <row r="9">
      <c r="A9" s="4" t="inlineStr">
        <is>
          <t>Podatek ekologiczny (f1)</t>
        </is>
      </c>
      <c r="B9" s="29" t="n">
        <v>50</v>
      </c>
      <c r="C9" s="20" t="inlineStr">
        <is>
          <t>EUR/t</t>
        </is>
      </c>
    </row>
    <row r="12">
      <c r="A12" s="24" t="inlineStr">
        <is>
          <t>OBLICZENIA</t>
        </is>
      </c>
      <c r="B12" s="25" t="inlineStr">
        <is>
          <t>Wartosc</t>
        </is>
      </c>
      <c r="C12" s="25" t="inlineStr">
        <is>
          <t>Zrodlo formuly</t>
        </is>
      </c>
    </row>
    <row r="13">
      <c r="A13" s="4" t="inlineStr">
        <is>
          <t>CapEx calkowity (EUR)</t>
        </is>
      </c>
      <c r="B13" s="13">
        <f>B5*250</f>
        <v/>
      </c>
      <c r="C13" s="30" t="inlineStr">
        <is>
          <t>V x 250 EUR/(t/rok)</t>
        </is>
      </c>
    </row>
    <row r="14">
      <c r="A14" s="4" t="inlineStr">
        <is>
          <t>Kwota grantu UE (EUR)</t>
        </is>
      </c>
      <c r="B14" s="13">
        <f>B13*B6</f>
        <v/>
      </c>
      <c r="C14" s="30" t="inlineStr">
        <is>
          <t>CapEx x G%</t>
        </is>
      </c>
    </row>
    <row r="15">
      <c r="A15" s="4" t="inlineStr">
        <is>
          <t>Wklad wlasny miasta (EUR)</t>
        </is>
      </c>
      <c r="B15" s="13">
        <f>B13-B14</f>
        <v/>
      </c>
      <c r="C15" s="30" t="inlineStr">
        <is>
          <t>CapEx - Grant</t>
        </is>
      </c>
    </row>
    <row r="17">
      <c r="A17" s="31" t="inlineStr">
        <is>
          <t>Oszczednosci f1 (EUR/rok)</t>
        </is>
      </c>
      <c r="B17" s="10">
        <f>B5*B9</f>
        <v/>
      </c>
      <c r="C17" s="30" t="inlineStr">
        <is>
          <t>Podatek ekologiczny (f1)</t>
        </is>
      </c>
    </row>
    <row r="18">
      <c r="A18" s="12" t="inlineStr">
        <is>
          <t>LACZE OSZCZEDNOSCI (EUR/rok)</t>
        </is>
      </c>
      <c r="B18" s="32">
        <f>B16</f>
        <v/>
      </c>
      <c r="C18" s="30" t="inlineStr">
        <is>
          <t>Suma oszczednosci</t>
        </is>
      </c>
    </row>
    <row r="21">
      <c r="A21" s="24" t="inlineStr">
        <is>
          <t>ROI — WYNIK</t>
        </is>
      </c>
      <c r="B21" s="25" t="inlineStr">
        <is>
          <t>Wartosc</t>
        </is>
      </c>
      <c r="C21" s="25" t="inlineStr">
        <is>
          <t>Formula</t>
        </is>
      </c>
    </row>
    <row r="22">
      <c r="A22" s="36" t="inlineStr">
        <is>
          <t>ROI (lata)</t>
        </is>
      </c>
      <c r="B22" s="35">
        <f>IF(B18&lt;=0,"brak danych",IF((B15-0)&lt;=0,"Natychmiastowy!",(B15-0)/B18))</f>
        <v/>
      </c>
      <c r="C22" s="30" t="inlineStr">
        <is>
          <t>(Wklad - Grunt) / Oszczednosci</t>
        </is>
      </c>
    </row>
    <row r="25">
      <c r="A25" s="37" t="inlineStr">
        <is>
          <t>ROI (link dla arkusza Podsumowanie)</t>
        </is>
      </c>
      <c r="B25" s="38">
        <f>B22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2026-05-30T12:59:57Z</dcterms:created>
  <dcterms:modified xmlns:dcterms="http://purl.org/dc/terms/" xmlns:xsi="http://www.w3.org/2001/XMLSchema-instance" xsi:type="dcterms:W3CDTF">2026-05-30T12:59:58Z</dcterms:modified>
</cp:coreProperties>
</file>